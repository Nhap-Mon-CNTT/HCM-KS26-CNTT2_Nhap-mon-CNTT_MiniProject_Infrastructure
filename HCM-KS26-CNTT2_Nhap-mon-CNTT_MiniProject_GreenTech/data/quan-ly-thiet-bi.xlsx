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vml" ContentType="application/vnd.openxmlformats-officedocument.vmlDrawing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threadedComments/threadedComment1.xml" ContentType="application/vnd.ms-excel.threadedcomments+xml"/>
  <Override PartName="/xl/worksheets/sheet2.xml" ContentType="application/vnd.openxmlformats-officedocument.spreadsheetml.worksheet+xml"/>
  <Override PartName="/xl/threadedComments/threadedComment2.xml" ContentType="application/vnd.ms-excel.threadedcomments+xml"/>
  <Override PartName="/xl/comments2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trang-thai-tram" sheetId="1" state="visible" r:id="rId2"/>
    <sheet name="danh-muc-linh-kien" sheetId="2" state="visible" r:id="rId3"/>
  </sheets>
  <definedNames>
    <definedName name="_xlnm._FilterDatabase" localSheetId="1" hidden="1">'danh-muc-linh-kien'!$A$1:$D$9</definedName>
    <definedName name="_xlnm._FilterDatabase" localSheetId="0" hidden="1">'trang-thai-tram'!$A$1:$F$101</definedName>
    <definedName name="_xlnm._FilterDatabase" localSheetId="0" hidden="1">'trang-thai-tram'!$A$1:$F$101</definedName>
    <definedName name="_xlnm._FilterDatabase" localSheetId="1" hidden="1">'danh-muc-linh-kien'!$A$1:$D$9</definedName>
  </definedNames>
  <calcPr fullCalcOnLoad="1"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tc={2601FCB8-B4C7-41C1-A284-D2BD1E203411}</author>
    <author>tc={28FFF5C0-6F05-46DF-81FF-31ADFB1B3B54}</author>
    <author>tc={3A8946C5-BDB0-4281-A37D-E00DF088174C}</author>
    <author>tc={16259FF9-0468-454D-AAD2-BC5FD61F795D}</author>
  </authors>
  <commentList>
    <comment ref="A1" authorId="0" xr:uid="{2601FCB8-B4C7-41C1-A284-D2BD1E203411}">
      <text>
        <r>
          <rPr>
            <b/>
            <sz val="9"/>
            <rFont val="Tahoma"/>
          </rPr>
          <t>Tutor:</t>
        </r>
        <r>
          <rPr>
            <sz val="9"/>
            <rFont val="Tahoma"/>
          </rPr>
          <t xml:space="preserve">
Dữ liệu mẫu do đề xuất.
</t>
        </r>
      </text>
    </comment>
    <comment ref="C1" authorId="1" xr:uid="{28FFF5C0-6F05-46DF-81FF-31ADFB1B3B54}">
      <text>
        <r>
          <rPr>
            <b/>
            <sz val="9"/>
            <rFont val="Tahoma"/>
          </rPr>
          <t>Tutor:</t>
        </r>
        <r>
          <rPr>
            <sz val="9"/>
            <rFont val="Tahoma"/>
          </rPr>
          <t xml:space="preserve">
Khóa ngoại. Có ô chứa khoảng trắng thừa (bẫy #N/A).
</t>
        </r>
      </text>
    </comment>
    <comment ref="D1" authorId="2" xr:uid="{3A8946C5-BDB0-4281-A37D-E00DF088174C}">
      <text>
        <r>
          <rPr>
            <b/>
            <sz val="9"/>
            <rFont val="Tahoma"/>
          </rPr>
          <t>Tutor:</t>
        </r>
        <r>
          <rPr>
            <sz val="9"/>
            <rFont val="Tahoma"/>
          </rPr>
          <t xml:space="preserve">
Ô vàng: tự điền bằng VLOOKUP + TRIM (Module 4).
</t>
        </r>
      </text>
    </comment>
    <comment ref="E1" authorId="3" xr:uid="{16259FF9-0468-454D-AAD2-BC5FD61F795D}">
      <text>
        <r>
          <rPr>
            <b/>
            <sz val="9"/>
            <rFont val="Tahoma"/>
          </rPr>
          <t>Tutor:</t>
        </r>
        <r>
          <rPr>
            <sz val="9"/>
            <rFont val="Tahoma"/>
          </rPr>
          <t xml:space="preserve">
Đơn vị: GB (đề xuất).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tc={CAFA680B-3B3B-4FE5-AAE3-1F9E6C7BAF81}</author>
    <author>tc={30C13CD8-EE9F-4D3C-9C4B-ADE0B812E0E1}</author>
  </authors>
  <commentList>
    <comment ref="A1" authorId="0" xr:uid="{CAFA680B-3B3B-4FE5-AAE3-1F9E6C7BAF81}">
      <text>
        <r>
          <rPr>
            <b/>
            <sz val="9"/>
            <rFont val="Tahoma"/>
          </rPr>
          <t>Tutor:</t>
        </r>
        <r>
          <rPr>
            <sz val="9"/>
            <rFont val="Tahoma"/>
          </rPr>
          <t xml:space="preserve">
Dữ liệu mẫu do đề xuất. Khóa chính.
</t>
        </r>
      </text>
    </comment>
    <comment ref="C1" authorId="1" xr:uid="{30C13CD8-EE9F-4D3C-9C4B-ADE0B812E0E1}">
      <text>
        <r>
          <rPr>
            <b/>
            <sz val="9"/>
            <rFont val="Tahoma"/>
          </rPr>
          <t>Tutor:</t>
        </r>
        <r>
          <rPr>
            <sz val="9"/>
            <rFont val="Tahoma"/>
          </rPr>
          <t xml:space="preserve">
Đơn vị: VND (đề xuất).
</t>
        </r>
      </text>
    </comment>
  </commentList>
</comments>
</file>

<file path=xl/sharedStrings.xml><?xml version="1.0" encoding="utf-8"?>
<sst xmlns="http://schemas.openxmlformats.org/spreadsheetml/2006/main" count="134" uniqueCount="134">
  <si>
    <t>ma_tram</t>
  </si>
  <si>
    <t>ma_linh_kien_sach</t>
  </si>
  <si>
    <t>ma_linh_kien</t>
  </si>
  <si>
    <t>ten_thiet_bi</t>
  </si>
  <si>
    <t>dung_luong_ram</t>
  </si>
  <si>
    <t>ngay_lap_dat</t>
  </si>
  <si>
    <t>TRAM001</t>
  </si>
  <si>
    <t>LK001</t>
  </si>
  <si>
    <t>TRAM002</t>
  </si>
  <si>
    <t>LK004</t>
  </si>
  <si>
    <t>TRAM003</t>
  </si>
  <si>
    <t>LK002</t>
  </si>
  <si>
    <t>TRAM004</t>
  </si>
  <si>
    <t>LK007</t>
  </si>
  <si>
    <t>TRAM005</t>
  </si>
  <si>
    <t>TRAM006</t>
  </si>
  <si>
    <t>TRAM007</t>
  </si>
  <si>
    <t xml:space="preserve">LK002 </t>
  </si>
  <si>
    <t>TRAM008</t>
  </si>
  <si>
    <t>TRAM009</t>
  </si>
  <si>
    <t>TRAM010</t>
  </si>
  <si>
    <t xml:space="preserve"> LK004</t>
  </si>
  <si>
    <t>TRAM011</t>
  </si>
  <si>
    <t>LK003</t>
  </si>
  <si>
    <t>TRAM012</t>
  </si>
  <si>
    <t>TRAM013</t>
  </si>
  <si>
    <t xml:space="preserve"> LK002  </t>
  </si>
  <si>
    <t>TRAM014</t>
  </si>
  <si>
    <t>TRAM015</t>
  </si>
  <si>
    <t>TRAM016</t>
  </si>
  <si>
    <t>TRAM017</t>
  </si>
  <si>
    <t>TRAM018</t>
  </si>
  <si>
    <t>TRAM019</t>
  </si>
  <si>
    <t>TRAM020</t>
  </si>
  <si>
    <t xml:space="preserve"> LK007  </t>
  </si>
  <si>
    <t>TRAM021</t>
  </si>
  <si>
    <t>LK008</t>
  </si>
  <si>
    <t>TRAM022</t>
  </si>
  <si>
    <t>LK005</t>
  </si>
  <si>
    <t>TRAM023</t>
  </si>
  <si>
    <t>TRAM024</t>
  </si>
  <si>
    <t>TRAM025</t>
  </si>
  <si>
    <t>TRAM026</t>
  </si>
  <si>
    <t>TRAM027</t>
  </si>
  <si>
    <t>TRAM028</t>
  </si>
  <si>
    <t>TRAM029</t>
  </si>
  <si>
    <t>TRAM030</t>
  </si>
  <si>
    <t>LK006</t>
  </si>
  <si>
    <t>TRAM031</t>
  </si>
  <si>
    <t>TRAM032</t>
  </si>
  <si>
    <t>TRAM033</t>
  </si>
  <si>
    <t>TRAM034</t>
  </si>
  <si>
    <t>TRAM035</t>
  </si>
  <si>
    <t>TRAM036</t>
  </si>
  <si>
    <t>TRAM037</t>
  </si>
  <si>
    <t>TRAM038</t>
  </si>
  <si>
    <t>TRAM039</t>
  </si>
  <si>
    <t>TRAM040</t>
  </si>
  <si>
    <t>TRAM041</t>
  </si>
  <si>
    <t>TRAM042</t>
  </si>
  <si>
    <t xml:space="preserve">LK001   </t>
  </si>
  <si>
    <t>TRAM043</t>
  </si>
  <si>
    <t>TRAM044</t>
  </si>
  <si>
    <t>TRAM045</t>
  </si>
  <si>
    <t>TRAM046</t>
  </si>
  <si>
    <t>TRAM047</t>
  </si>
  <si>
    <t xml:space="preserve">LK004   </t>
  </si>
  <si>
    <t>TRAM048</t>
  </si>
  <si>
    <t>TRAM049</t>
  </si>
  <si>
    <t>TRAM050</t>
  </si>
  <si>
    <t>TRAM051</t>
  </si>
  <si>
    <t xml:space="preserve">LK005 </t>
  </si>
  <si>
    <t>TRAM052</t>
  </si>
  <si>
    <t>TRAM053</t>
  </si>
  <si>
    <t>TRAM054</t>
  </si>
  <si>
    <t>TRAM055</t>
  </si>
  <si>
    <t>TRAM056</t>
  </si>
  <si>
    <t>TRAM057</t>
  </si>
  <si>
    <t>TRAM058</t>
  </si>
  <si>
    <t>TRAM059</t>
  </si>
  <si>
    <t>TRAM060</t>
  </si>
  <si>
    <t>TRAM061</t>
  </si>
  <si>
    <t>TRAM062</t>
  </si>
  <si>
    <t>TRAM063</t>
  </si>
  <si>
    <t>TRAM064</t>
  </si>
  <si>
    <t>TRAM065</t>
  </si>
  <si>
    <t>TRAM066</t>
  </si>
  <si>
    <t>TRAM067</t>
  </si>
  <si>
    <t>TRAM068</t>
  </si>
  <si>
    <t>TRAM069</t>
  </si>
  <si>
    <t>TRAM070</t>
  </si>
  <si>
    <t>TRAM071</t>
  </si>
  <si>
    <t>TRAM072</t>
  </si>
  <si>
    <t>TRAM073</t>
  </si>
  <si>
    <t>TRAM074</t>
  </si>
  <si>
    <t>TRAM075</t>
  </si>
  <si>
    <t>TRAM076</t>
  </si>
  <si>
    <t>TRAM077</t>
  </si>
  <si>
    <t>TRAM078</t>
  </si>
  <si>
    <t>TRAM079</t>
  </si>
  <si>
    <t>TRAM080</t>
  </si>
  <si>
    <t>TRAM081</t>
  </si>
  <si>
    <t>TRAM082</t>
  </si>
  <si>
    <t>TRAM083</t>
  </si>
  <si>
    <t>TRAM084</t>
  </si>
  <si>
    <t xml:space="preserve"> LK005</t>
  </si>
  <si>
    <t>TRAM085</t>
  </si>
  <si>
    <t>TRAM086</t>
  </si>
  <si>
    <t>TRAM087</t>
  </si>
  <si>
    <t>TRAM088</t>
  </si>
  <si>
    <t>TRAM089</t>
  </si>
  <si>
    <t>TRAM090</t>
  </si>
  <si>
    <t>TRAM091</t>
  </si>
  <si>
    <t>TRAM092</t>
  </si>
  <si>
    <t>TRAM093</t>
  </si>
  <si>
    <t>TRAM094</t>
  </si>
  <si>
    <t>TRAM095</t>
  </si>
  <si>
    <t>TRAM096</t>
  </si>
  <si>
    <t>TRAM097</t>
  </si>
  <si>
    <t>TRAM098</t>
  </si>
  <si>
    <t>TRAM099</t>
  </si>
  <si>
    <t>TRAM100</t>
  </si>
  <si>
    <t>don_gia</t>
  </si>
  <si>
    <t>loai_storage</t>
  </si>
  <si>
    <t xml:space="preserve">Raspberry Pi 4B 4GB</t>
  </si>
  <si>
    <t>SSD</t>
  </si>
  <si>
    <t xml:space="preserve">Raspberry Pi 4B 8GB</t>
  </si>
  <si>
    <t xml:space="preserve">Jetson Nano 4GB</t>
  </si>
  <si>
    <t xml:space="preserve">Orange Pi 5 8GB</t>
  </si>
  <si>
    <t xml:space="preserve">Intel NUC N100 8GB</t>
  </si>
  <si>
    <t xml:space="preserve">Gateway ARM 2GB</t>
  </si>
  <si>
    <t>HDD</t>
  </si>
  <si>
    <t xml:space="preserve">Mini PC Celeron J4125 4GB</t>
  </si>
  <si>
    <t xml:space="preserve">Rock Pi 4 4GB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</si>
</sst>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>
    <font>
      <sz val="11.000000"/>
      <color theme="1"/>
      <name val="Calibri"/>
      <scheme val="minor"/>
    </font>
    <font>
      <b/>
      <sz val="10.000000"/>
      <color indexed="65"/>
      <name val="Arial"/>
    </font>
    <font>
      <sz val="10.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/>
    </xf>
    <xf fontId="2" fillId="0" borderId="1" numFmtId="0" xfId="0" applyFont="1" applyBorder="1" quotePrefix="0" pivotButton="0"/>
    <xf fontId="2" fillId="3" borderId="1" numFmtId="0" xfId="0" applyFont="1" applyFill="1" applyBorder="1" quotePrefix="0" pivotButton="0"/>
    <xf fontId="2" fillId="0" borderId="1" numFmtId="164" xfId="0" applyNumberFormat="1" applyFont="1" applyBorder="1" quotePrefix="0" pivotButton="0"/>
    <xf fontId="2" fillId="0" borderId="1" numFmtId="3" xfId="0" applyNumberFormat="1" applyFont="1" applyBorder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utor" id="{1E3460EB-E3DB-F123-DC79-4577EE1C3F5F}"/>
  <person displayName="Tutor" id="{6AAB3793-ED3F-6180-FD14-D3FA98E547FE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ï¼­ï¼³ æ˜Žæœ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personId="{1E3460EB-E3DB-F123-DC79-4577EE1C3F5F}" id="{2601FCB8-B4C7-41C1-A284-D2BD1E203411}" done="0">
    <text xml:space="preserve">Dữ liệu mẫu do đề xuất.
</text>
  </threadedComment>
  <threadedComment ref="C1" personId="{6AAB3793-ED3F-6180-FD14-D3FA98E547FE}" id="{28FFF5C0-6F05-46DF-81FF-31ADFB1B3B54}" done="0">
    <text xml:space="preserve">Khóa ngoại. Có ô chứa khoảng trắng thừa (bẫy #N/A).
</text>
  </threadedComment>
  <threadedComment ref="D1" personId="{6AAB3793-ED3F-6180-FD14-D3FA98E547FE}" id="{3A8946C5-BDB0-4281-A37D-E00DF088174C}" done="0">
    <text xml:space="preserve">Ô vàng: tự điền bằng VLOOKUP + TRIM (Module 4).
</text>
  </threadedComment>
  <threadedComment ref="E1" personId="{6AAB3793-ED3F-6180-FD14-D3FA98E547FE}" id="{16259FF9-0468-454D-AAD2-BC5FD61F795D}" done="0">
    <text xml:space="preserve">Đơn vị: GB (đề xuất).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personId="{1E3460EB-E3DB-F123-DC79-4577EE1C3F5F}" id="{CAFA680B-3B3B-4FE5-AAE3-1F9E6C7BAF81}" done="0">
    <text xml:space="preserve">Dữ liệu mẫu do đề xuất. Khóa chính.
</text>
  </threadedComment>
  <threadedComment ref="C1" personId="{1E3460EB-E3DB-F123-DC79-4577EE1C3F5F}" id="{30C13CD8-EE9F-4D3C-9C4B-ADE0B812E0E1}" done="0">
    <text xml:space="preserve">Đơn vị: VND (đề xuất).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D2" activeCellId="0" sqref="D2:D101"/>
    </sheetView>
  </sheetViews>
  <sheetFormatPr baseColWidth="8" defaultRowHeight="14.25"/>
  <cols>
    <col customWidth="1" min="1" max="1" width="12"/>
    <col customWidth="1" min="2" max="2" width="21.57421875"/>
    <col customWidth="1" min="3" max="3" width="16"/>
    <col customWidth="1" min="4" max="4" width="30"/>
    <col customWidth="1" min="5" max="6" width="1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tr">
        <f>TRIM(C2)</f>
        <v>LK001</v>
      </c>
      <c r="C2" s="2" t="s">
        <v>7</v>
      </c>
      <c r="D2" s="3" t="str">
        <f>VLOOKUP(B2,'danh-muc-linh-kien'!$A$2:$D$9,2,FALSE)</f>
        <v xml:space="preserve">Raspberry Pi 4B 4GB</v>
      </c>
      <c r="E2" s="2">
        <v>4</v>
      </c>
      <c r="F2" s="4">
        <v>46177</v>
      </c>
    </row>
    <row r="3">
      <c r="A3" s="2" t="s">
        <v>8</v>
      </c>
      <c r="B3" s="2" t="str">
        <f>TRIM(C3)</f>
        <v>LK004</v>
      </c>
      <c r="C3" s="2" t="s">
        <v>9</v>
      </c>
      <c r="D3" s="3" t="str">
        <f>VLOOKUP(B3,'danh-muc-linh-kien'!$A$2:$D$9,2,FALSE)</f>
        <v xml:space="preserve">Orange Pi 5 8GB</v>
      </c>
      <c r="E3" s="2">
        <v>8</v>
      </c>
      <c r="F3" s="4">
        <v>45696</v>
      </c>
    </row>
    <row r="4">
      <c r="A4" s="2" t="s">
        <v>10</v>
      </c>
      <c r="B4" s="2" t="str">
        <f>TRIM(C4)</f>
        <v>LK002</v>
      </c>
      <c r="C4" s="2" t="s">
        <v>11</v>
      </c>
      <c r="D4" s="3" t="str">
        <f>VLOOKUP(B4,'danh-muc-linh-kien'!$A$2:$D$9,2,FALSE)</f>
        <v xml:space="preserve">Raspberry Pi 4B 8GB</v>
      </c>
      <c r="E4" s="2">
        <v>8</v>
      </c>
      <c r="F4" s="4">
        <v>46102</v>
      </c>
    </row>
    <row r="5">
      <c r="A5" s="2" t="s">
        <v>12</v>
      </c>
      <c r="B5" s="2" t="str">
        <f>TRIM(C5)</f>
        <v>LK007</v>
      </c>
      <c r="C5" s="2" t="s">
        <v>13</v>
      </c>
      <c r="D5" s="3" t="str">
        <f>VLOOKUP(B5,'danh-muc-linh-kien'!$A$2:$D$9,2,FALSE)</f>
        <v xml:space="preserve">Mini PC Celeron J4125 4GB</v>
      </c>
      <c r="E5" s="2">
        <v>4</v>
      </c>
      <c r="F5" s="4">
        <v>45729</v>
      </c>
    </row>
    <row r="6">
      <c r="A6" s="2" t="s">
        <v>14</v>
      </c>
      <c r="B6" s="2" t="str">
        <f>TRIM(C6)</f>
        <v>LK004</v>
      </c>
      <c r="C6" s="2" t="s">
        <v>9</v>
      </c>
      <c r="D6" s="3" t="str">
        <f>VLOOKUP(B6,'danh-muc-linh-kien'!$A$2:$D$9,2,FALSE)</f>
        <v xml:space="preserve">Orange Pi 5 8GB</v>
      </c>
      <c r="E6" s="2">
        <v>8</v>
      </c>
      <c r="F6" s="4">
        <v>45750</v>
      </c>
    </row>
    <row r="7">
      <c r="A7" s="2" t="s">
        <v>15</v>
      </c>
      <c r="B7" s="2" t="str">
        <f>TRIM(C7)</f>
        <v>LK007</v>
      </c>
      <c r="C7" s="2" t="s">
        <v>13</v>
      </c>
      <c r="D7" s="3" t="str">
        <f>VLOOKUP(B7,'danh-muc-linh-kien'!$A$2:$D$9,2,FALSE)</f>
        <v xml:space="preserve">Mini PC Celeron J4125 4GB</v>
      </c>
      <c r="E7" s="2">
        <v>4</v>
      </c>
      <c r="F7" s="4">
        <v>45718</v>
      </c>
    </row>
    <row r="8">
      <c r="A8" s="2" t="s">
        <v>16</v>
      </c>
      <c r="B8" s="2" t="str">
        <f>TRIM(C8)</f>
        <v>LK002</v>
      </c>
      <c r="C8" s="2" t="s">
        <v>17</v>
      </c>
      <c r="D8" s="3" t="str">
        <f>VLOOKUP(B8,'danh-muc-linh-kien'!$A$2:$D$9,2,FALSE)</f>
        <v xml:space="preserve">Raspberry Pi 4B 8GB</v>
      </c>
      <c r="E8" s="2">
        <v>8</v>
      </c>
      <c r="F8" s="4">
        <v>46303</v>
      </c>
    </row>
    <row r="9">
      <c r="A9" s="2" t="s">
        <v>18</v>
      </c>
      <c r="B9" s="2" t="str">
        <f>TRIM(C9)</f>
        <v>LK001</v>
      </c>
      <c r="C9" s="2" t="s">
        <v>7</v>
      </c>
      <c r="D9" s="3" t="str">
        <f>VLOOKUP(B9,'danh-muc-linh-kien'!$A$2:$D$9,2,FALSE)</f>
        <v xml:space="preserve">Raspberry Pi 4B 4GB</v>
      </c>
      <c r="E9" s="2">
        <v>4</v>
      </c>
      <c r="F9" s="4">
        <v>46248</v>
      </c>
    </row>
    <row r="10">
      <c r="A10" s="2" t="s">
        <v>19</v>
      </c>
      <c r="B10" s="2" t="str">
        <f>TRIM(C10)</f>
        <v>LK007</v>
      </c>
      <c r="C10" s="2" t="s">
        <v>13</v>
      </c>
      <c r="D10" s="3" t="str">
        <f>VLOOKUP(B10,'danh-muc-linh-kien'!$A$2:$D$9,2,FALSE)</f>
        <v xml:space="preserve">Mini PC Celeron J4125 4GB</v>
      </c>
      <c r="E10" s="2">
        <v>4</v>
      </c>
      <c r="F10" s="4">
        <v>45708</v>
      </c>
    </row>
    <row r="11">
      <c r="A11" s="2" t="s">
        <v>20</v>
      </c>
      <c r="B11" s="2" t="str">
        <f>TRIM(C11)</f>
        <v>LK004</v>
      </c>
      <c r="C11" s="2" t="s">
        <v>21</v>
      </c>
      <c r="D11" s="3" t="str">
        <f>VLOOKUP(B11,'danh-muc-linh-kien'!$A$2:$D$9,2,FALSE)</f>
        <v xml:space="preserve">Orange Pi 5 8GB</v>
      </c>
      <c r="E11" s="2">
        <v>8</v>
      </c>
      <c r="F11" s="4">
        <v>46228</v>
      </c>
    </row>
    <row r="12">
      <c r="A12" s="2" t="s">
        <v>22</v>
      </c>
      <c r="B12" s="2" t="str">
        <f>TRIM(C12)</f>
        <v>LK003</v>
      </c>
      <c r="C12" s="2" t="s">
        <v>23</v>
      </c>
      <c r="D12" s="3" t="str">
        <f>VLOOKUP(B12,'danh-muc-linh-kien'!$A$2:$D$9,2,FALSE)</f>
        <v xml:space="preserve">Jetson Nano 4GB</v>
      </c>
      <c r="E12" s="2">
        <v>4</v>
      </c>
      <c r="F12" s="4">
        <v>45954</v>
      </c>
    </row>
    <row r="13">
      <c r="A13" s="2" t="s">
        <v>24</v>
      </c>
      <c r="B13" s="2" t="str">
        <f>TRIM(C13)</f>
        <v>LK007</v>
      </c>
      <c r="C13" s="2" t="s">
        <v>13</v>
      </c>
      <c r="D13" s="3" t="str">
        <f>VLOOKUP(B13,'danh-muc-linh-kien'!$A$2:$D$9,2,FALSE)</f>
        <v xml:space="preserve">Mini PC Celeron J4125 4GB</v>
      </c>
      <c r="E13" s="2">
        <v>4</v>
      </c>
      <c r="F13" s="4">
        <v>45805</v>
      </c>
    </row>
    <row r="14">
      <c r="A14" s="2" t="s">
        <v>25</v>
      </c>
      <c r="B14" s="2" t="str">
        <f>TRIM(C14)</f>
        <v>LK002</v>
      </c>
      <c r="C14" s="2" t="s">
        <v>26</v>
      </c>
      <c r="D14" s="3" t="str">
        <f>VLOOKUP(B14,'danh-muc-linh-kien'!$A$2:$D$9,2,FALSE)</f>
        <v xml:space="preserve">Raspberry Pi 4B 8GB</v>
      </c>
      <c r="E14" s="2">
        <v>8</v>
      </c>
      <c r="F14" s="4">
        <v>46231</v>
      </c>
    </row>
    <row r="15">
      <c r="A15" s="2" t="s">
        <v>27</v>
      </c>
      <c r="B15" s="2" t="str">
        <f>TRIM(C15)</f>
        <v>LK003</v>
      </c>
      <c r="C15" s="2" t="s">
        <v>23</v>
      </c>
      <c r="D15" s="3" t="str">
        <f>VLOOKUP(B15,'danh-muc-linh-kien'!$A$2:$D$9,2,FALSE)</f>
        <v xml:space="preserve">Jetson Nano 4GB</v>
      </c>
      <c r="E15" s="2">
        <v>4</v>
      </c>
      <c r="F15" s="4">
        <v>45763</v>
      </c>
    </row>
    <row r="16">
      <c r="A16" s="2" t="s">
        <v>28</v>
      </c>
      <c r="B16" s="2" t="str">
        <f>TRIM(C16)</f>
        <v>LK004</v>
      </c>
      <c r="C16" s="2" t="s">
        <v>9</v>
      </c>
      <c r="D16" s="3" t="str">
        <f>VLOOKUP(B16,'danh-muc-linh-kien'!$A$2:$D$9,2,FALSE)</f>
        <v xml:space="preserve">Orange Pi 5 8GB</v>
      </c>
      <c r="E16" s="2">
        <v>8</v>
      </c>
      <c r="F16" s="4">
        <v>46039</v>
      </c>
    </row>
    <row r="17">
      <c r="A17" s="2" t="s">
        <v>29</v>
      </c>
      <c r="B17" s="2" t="str">
        <f>TRIM(C17)</f>
        <v>LK002</v>
      </c>
      <c r="C17" s="2" t="s">
        <v>11</v>
      </c>
      <c r="D17" s="3" t="str">
        <f>VLOOKUP(B17,'danh-muc-linh-kien'!$A$2:$D$9,2,FALSE)</f>
        <v xml:space="preserve">Raspberry Pi 4B 8GB</v>
      </c>
      <c r="E17" s="2">
        <v>8</v>
      </c>
      <c r="F17" s="4">
        <v>46218</v>
      </c>
    </row>
    <row r="18">
      <c r="A18" s="2" t="s">
        <v>30</v>
      </c>
      <c r="B18" s="2" t="str">
        <f>TRIM(C18)</f>
        <v>LK002</v>
      </c>
      <c r="C18" s="2" t="s">
        <v>11</v>
      </c>
      <c r="D18" s="3" t="str">
        <f>VLOOKUP(B18,'danh-muc-linh-kien'!$A$2:$D$9,2,FALSE)</f>
        <v xml:space="preserve">Raspberry Pi 4B 8GB</v>
      </c>
      <c r="E18" s="2">
        <v>8</v>
      </c>
      <c r="F18" s="4">
        <v>46235</v>
      </c>
    </row>
    <row r="19">
      <c r="A19" s="2" t="s">
        <v>31</v>
      </c>
      <c r="B19" s="2" t="str">
        <f>TRIM(C19)</f>
        <v>LK001</v>
      </c>
      <c r="C19" s="2" t="s">
        <v>7</v>
      </c>
      <c r="D19" s="3" t="str">
        <f>VLOOKUP(B19,'danh-muc-linh-kien'!$A$2:$D$9,2,FALSE)</f>
        <v xml:space="preserve">Raspberry Pi 4B 4GB</v>
      </c>
      <c r="E19" s="2">
        <v>4</v>
      </c>
      <c r="F19" s="4">
        <v>46291</v>
      </c>
    </row>
    <row r="20">
      <c r="A20" s="2" t="s">
        <v>32</v>
      </c>
      <c r="B20" s="2" t="str">
        <f>TRIM(C20)</f>
        <v>LK004</v>
      </c>
      <c r="C20" s="2" t="s">
        <v>9</v>
      </c>
      <c r="D20" s="3" t="str">
        <f>VLOOKUP(B20,'danh-muc-linh-kien'!$A$2:$D$9,2,FALSE)</f>
        <v xml:space="preserve">Orange Pi 5 8GB</v>
      </c>
      <c r="E20" s="2">
        <v>8</v>
      </c>
      <c r="F20" s="4">
        <v>46166</v>
      </c>
    </row>
    <row r="21">
      <c r="A21" s="2" t="s">
        <v>33</v>
      </c>
      <c r="B21" s="2" t="str">
        <f>TRIM(C21)</f>
        <v>LK007</v>
      </c>
      <c r="C21" s="2" t="s">
        <v>34</v>
      </c>
      <c r="D21" s="3" t="str">
        <f>VLOOKUP(B21,'danh-muc-linh-kien'!$A$2:$D$9,2,FALSE)</f>
        <v xml:space="preserve">Mini PC Celeron J4125 4GB</v>
      </c>
      <c r="E21" s="2">
        <v>4</v>
      </c>
      <c r="F21" s="4">
        <v>46134</v>
      </c>
    </row>
    <row r="22">
      <c r="A22" s="2" t="s">
        <v>35</v>
      </c>
      <c r="B22" s="2" t="str">
        <f>TRIM(C22)</f>
        <v>LK008</v>
      </c>
      <c r="C22" s="2" t="s">
        <v>36</v>
      </c>
      <c r="D22" s="3" t="str">
        <f>VLOOKUP(B22,'danh-muc-linh-kien'!$A$2:$D$9,2,FALSE)</f>
        <v xml:space="preserve">Rock Pi 4 4GB</v>
      </c>
      <c r="E22" s="2">
        <v>4</v>
      </c>
      <c r="F22" s="4">
        <v>46028</v>
      </c>
    </row>
    <row r="23">
      <c r="A23" s="2" t="s">
        <v>37</v>
      </c>
      <c r="B23" s="2" t="str">
        <f>TRIM(C23)</f>
        <v>LK005</v>
      </c>
      <c r="C23" s="2" t="s">
        <v>38</v>
      </c>
      <c r="D23" s="3" t="str">
        <f>VLOOKUP(B23,'danh-muc-linh-kien'!$A$2:$D$9,2,FALSE)</f>
        <v xml:space="preserve">Intel NUC N100 8GB</v>
      </c>
      <c r="E23" s="2">
        <v>8</v>
      </c>
      <c r="F23" s="4">
        <v>45912</v>
      </c>
    </row>
    <row r="24">
      <c r="A24" s="2" t="s">
        <v>39</v>
      </c>
      <c r="B24" s="2" t="str">
        <f>TRIM(C24)</f>
        <v>LK003</v>
      </c>
      <c r="C24" s="2" t="s">
        <v>23</v>
      </c>
      <c r="D24" s="3" t="str">
        <f>VLOOKUP(B24,'danh-muc-linh-kien'!$A$2:$D$9,2,FALSE)</f>
        <v xml:space="preserve">Jetson Nano 4GB</v>
      </c>
      <c r="E24" s="2">
        <v>4</v>
      </c>
      <c r="F24" s="4">
        <v>45907</v>
      </c>
    </row>
    <row r="25">
      <c r="A25" s="2" t="s">
        <v>40</v>
      </c>
      <c r="B25" s="2" t="str">
        <f>TRIM(C25)</f>
        <v>LK002</v>
      </c>
      <c r="C25" s="2" t="s">
        <v>11</v>
      </c>
      <c r="D25" s="3" t="str">
        <f>VLOOKUP(B25,'danh-muc-linh-kien'!$A$2:$D$9,2,FALSE)</f>
        <v xml:space="preserve">Raspberry Pi 4B 8GB</v>
      </c>
      <c r="E25" s="2">
        <v>8</v>
      </c>
      <c r="F25" s="4">
        <v>46246</v>
      </c>
    </row>
    <row r="26">
      <c r="A26" s="2" t="s">
        <v>41</v>
      </c>
      <c r="B26" s="2" t="str">
        <f>TRIM(C26)</f>
        <v>LK005</v>
      </c>
      <c r="C26" s="2" t="s">
        <v>38</v>
      </c>
      <c r="D26" s="3" t="str">
        <f>VLOOKUP(B26,'danh-muc-linh-kien'!$A$2:$D$9,2,FALSE)</f>
        <v xml:space="preserve">Intel NUC N100 8GB</v>
      </c>
      <c r="E26" s="2">
        <v>8</v>
      </c>
      <c r="F26" s="4">
        <v>46195</v>
      </c>
    </row>
    <row r="27">
      <c r="A27" s="2" t="s">
        <v>42</v>
      </c>
      <c r="B27" s="2" t="str">
        <f>TRIM(C27)</f>
        <v>LK008</v>
      </c>
      <c r="C27" s="2" t="s">
        <v>36</v>
      </c>
      <c r="D27" s="3" t="str">
        <f>VLOOKUP(B27,'danh-muc-linh-kien'!$A$2:$D$9,2,FALSE)</f>
        <v xml:space="preserve">Rock Pi 4 4GB</v>
      </c>
      <c r="E27" s="2">
        <v>4</v>
      </c>
      <c r="F27" s="4">
        <v>46009</v>
      </c>
    </row>
    <row r="28">
      <c r="A28" s="2" t="s">
        <v>43</v>
      </c>
      <c r="B28" s="2" t="str">
        <f>TRIM(C28)</f>
        <v>LK008</v>
      </c>
      <c r="C28" s="2" t="s">
        <v>36</v>
      </c>
      <c r="D28" s="3" t="str">
        <f>VLOOKUP(B28,'danh-muc-linh-kien'!$A$2:$D$9,2,FALSE)</f>
        <v xml:space="preserve">Rock Pi 4 4GB</v>
      </c>
      <c r="E28" s="2">
        <v>4</v>
      </c>
      <c r="F28" s="4">
        <v>45952</v>
      </c>
    </row>
    <row r="29">
      <c r="A29" s="2" t="s">
        <v>44</v>
      </c>
      <c r="B29" s="2" t="str">
        <f>TRIM(C29)</f>
        <v>LK002</v>
      </c>
      <c r="C29" s="2" t="s">
        <v>11</v>
      </c>
      <c r="D29" s="3" t="str">
        <f>VLOOKUP(B29,'danh-muc-linh-kien'!$A$2:$D$9,2,FALSE)</f>
        <v xml:space="preserve">Raspberry Pi 4B 8GB</v>
      </c>
      <c r="E29" s="2">
        <v>8</v>
      </c>
      <c r="F29" s="4">
        <v>45778</v>
      </c>
    </row>
    <row r="30">
      <c r="A30" s="2" t="s">
        <v>45</v>
      </c>
      <c r="B30" s="2" t="str">
        <f>TRIM(C30)</f>
        <v>LK007</v>
      </c>
      <c r="C30" s="2" t="s">
        <v>13</v>
      </c>
      <c r="D30" s="3" t="str">
        <f>VLOOKUP(B30,'danh-muc-linh-kien'!$A$2:$D$9,2,FALSE)</f>
        <v xml:space="preserve">Mini PC Celeron J4125 4GB</v>
      </c>
      <c r="E30" s="2">
        <v>4</v>
      </c>
      <c r="F30" s="4">
        <v>45826</v>
      </c>
    </row>
    <row r="31">
      <c r="A31" s="2" t="s">
        <v>46</v>
      </c>
      <c r="B31" s="2" t="str">
        <f>TRIM(C31)</f>
        <v>LK006</v>
      </c>
      <c r="C31" s="2" t="s">
        <v>47</v>
      </c>
      <c r="D31" s="3" t="str">
        <f>VLOOKUP(B31,'danh-muc-linh-kien'!$A$2:$D$9,2,FALSE)</f>
        <v xml:space="preserve">Gateway ARM 2GB</v>
      </c>
      <c r="E31" s="2">
        <v>2</v>
      </c>
      <c r="F31" s="4">
        <v>45813</v>
      </c>
    </row>
    <row r="32">
      <c r="A32" s="2" t="s">
        <v>48</v>
      </c>
      <c r="B32" s="2" t="str">
        <f>TRIM(C32)</f>
        <v>LK008</v>
      </c>
      <c r="C32" s="2" t="s">
        <v>36</v>
      </c>
      <c r="D32" s="3" t="str">
        <f>VLOOKUP(B32,'danh-muc-linh-kien'!$A$2:$D$9,2,FALSE)</f>
        <v xml:space="preserve">Rock Pi 4 4GB</v>
      </c>
      <c r="E32" s="2">
        <v>4</v>
      </c>
      <c r="F32" s="4">
        <v>46089</v>
      </c>
    </row>
    <row r="33">
      <c r="A33" s="2" t="s">
        <v>49</v>
      </c>
      <c r="B33" s="2" t="str">
        <f>TRIM(C33)</f>
        <v>LK001</v>
      </c>
      <c r="C33" s="2" t="s">
        <v>7</v>
      </c>
      <c r="D33" s="3" t="str">
        <f>VLOOKUP(B33,'danh-muc-linh-kien'!$A$2:$D$9,2,FALSE)</f>
        <v xml:space="preserve">Raspberry Pi 4B 4GB</v>
      </c>
      <c r="E33" s="2">
        <v>4</v>
      </c>
      <c r="F33" s="4">
        <v>45737</v>
      </c>
    </row>
    <row r="34">
      <c r="A34" s="2" t="s">
        <v>50</v>
      </c>
      <c r="B34" s="2" t="str">
        <f>TRIM(C34)</f>
        <v>LK006</v>
      </c>
      <c r="C34" s="2" t="s">
        <v>47</v>
      </c>
      <c r="D34" s="3" t="str">
        <f>VLOOKUP(B34,'danh-muc-linh-kien'!$A$2:$D$9,2,FALSE)</f>
        <v xml:space="preserve">Gateway ARM 2GB</v>
      </c>
      <c r="E34" s="2">
        <v>2</v>
      </c>
      <c r="F34" s="4">
        <v>46006</v>
      </c>
    </row>
    <row r="35">
      <c r="A35" s="2" t="s">
        <v>51</v>
      </c>
      <c r="B35" s="2" t="str">
        <f>TRIM(C35)</f>
        <v>LK006</v>
      </c>
      <c r="C35" s="2" t="s">
        <v>47</v>
      </c>
      <c r="D35" s="3" t="str">
        <f>VLOOKUP(B35,'danh-muc-linh-kien'!$A$2:$D$9,2,FALSE)</f>
        <v xml:space="preserve">Gateway ARM 2GB</v>
      </c>
      <c r="E35" s="2">
        <v>2</v>
      </c>
      <c r="F35" s="4">
        <v>46266</v>
      </c>
    </row>
    <row r="36">
      <c r="A36" s="2" t="s">
        <v>52</v>
      </c>
      <c r="B36" s="2" t="str">
        <f>TRIM(C36)</f>
        <v>LK008</v>
      </c>
      <c r="C36" s="2" t="s">
        <v>36</v>
      </c>
      <c r="D36" s="3" t="str">
        <f>VLOOKUP(B36,'danh-muc-linh-kien'!$A$2:$D$9,2,FALSE)</f>
        <v xml:space="preserve">Rock Pi 4 4GB</v>
      </c>
      <c r="E36" s="2">
        <v>4</v>
      </c>
      <c r="F36" s="4">
        <v>46251</v>
      </c>
    </row>
    <row r="37">
      <c r="A37" s="2" t="s">
        <v>53</v>
      </c>
      <c r="B37" s="2" t="str">
        <f>TRIM(C37)</f>
        <v>LK008</v>
      </c>
      <c r="C37" s="2" t="s">
        <v>36</v>
      </c>
      <c r="D37" s="3" t="str">
        <f>VLOOKUP(B37,'danh-muc-linh-kien'!$A$2:$D$9,2,FALSE)</f>
        <v xml:space="preserve">Rock Pi 4 4GB</v>
      </c>
      <c r="E37" s="2">
        <v>4</v>
      </c>
      <c r="F37" s="4">
        <v>45728</v>
      </c>
    </row>
    <row r="38">
      <c r="A38" s="2" t="s">
        <v>54</v>
      </c>
      <c r="B38" s="2" t="str">
        <f>TRIM(C38)</f>
        <v>LK002</v>
      </c>
      <c r="C38" s="2" t="s">
        <v>11</v>
      </c>
      <c r="D38" s="3" t="str">
        <f>VLOOKUP(B38,'danh-muc-linh-kien'!$A$2:$D$9,2,FALSE)</f>
        <v xml:space="preserve">Raspberry Pi 4B 8GB</v>
      </c>
      <c r="E38" s="2">
        <v>8</v>
      </c>
      <c r="F38" s="4">
        <v>45934</v>
      </c>
    </row>
    <row r="39">
      <c r="A39" s="2" t="s">
        <v>55</v>
      </c>
      <c r="B39" s="2" t="str">
        <f>TRIM(C39)</f>
        <v>LK008</v>
      </c>
      <c r="C39" s="2" t="s">
        <v>36</v>
      </c>
      <c r="D39" s="3" t="str">
        <f>VLOOKUP(B39,'danh-muc-linh-kien'!$A$2:$D$9,2,FALSE)</f>
        <v xml:space="preserve">Rock Pi 4 4GB</v>
      </c>
      <c r="E39" s="2">
        <v>4</v>
      </c>
      <c r="F39" s="4">
        <v>45724</v>
      </c>
    </row>
    <row r="40">
      <c r="A40" s="2" t="s">
        <v>56</v>
      </c>
      <c r="B40" s="2" t="str">
        <f>TRIM(C40)</f>
        <v>LK001</v>
      </c>
      <c r="C40" s="2" t="s">
        <v>7</v>
      </c>
      <c r="D40" s="3" t="str">
        <f>VLOOKUP(B40,'danh-muc-linh-kien'!$A$2:$D$9,2,FALSE)</f>
        <v xml:space="preserve">Raspberry Pi 4B 4GB</v>
      </c>
      <c r="E40" s="2">
        <v>4</v>
      </c>
      <c r="F40" s="4">
        <v>45975</v>
      </c>
    </row>
    <row r="41">
      <c r="A41" s="2" t="s">
        <v>57</v>
      </c>
      <c r="B41" s="2" t="str">
        <f>TRIM(C41)</f>
        <v>LK008</v>
      </c>
      <c r="C41" s="2" t="s">
        <v>36</v>
      </c>
      <c r="D41" s="3" t="str">
        <f>VLOOKUP(B41,'danh-muc-linh-kien'!$A$2:$D$9,2,FALSE)</f>
        <v xml:space="preserve">Rock Pi 4 4GB</v>
      </c>
      <c r="E41" s="2">
        <v>4</v>
      </c>
      <c r="F41" s="4">
        <v>45949</v>
      </c>
    </row>
    <row r="42">
      <c r="A42" s="2" t="s">
        <v>58</v>
      </c>
      <c r="B42" s="2" t="str">
        <f>TRIM(C42)</f>
        <v>LK007</v>
      </c>
      <c r="C42" s="2" t="s">
        <v>13</v>
      </c>
      <c r="D42" s="3" t="str">
        <f>VLOOKUP(B42,'danh-muc-linh-kien'!$A$2:$D$9,2,FALSE)</f>
        <v xml:space="preserve">Mini PC Celeron J4125 4GB</v>
      </c>
      <c r="E42" s="2">
        <v>4</v>
      </c>
      <c r="F42" s="4">
        <v>46013</v>
      </c>
    </row>
    <row r="43">
      <c r="A43" s="2" t="s">
        <v>59</v>
      </c>
      <c r="B43" s="2" t="str">
        <f>TRIM(C43)</f>
        <v>LK001</v>
      </c>
      <c r="C43" s="2" t="s">
        <v>60</v>
      </c>
      <c r="D43" s="3" t="str">
        <f>VLOOKUP(B43,'danh-muc-linh-kien'!$A$2:$D$9,2,FALSE)</f>
        <v xml:space="preserve">Raspberry Pi 4B 4GB</v>
      </c>
      <c r="E43" s="2">
        <v>4</v>
      </c>
      <c r="F43" s="4">
        <v>46021</v>
      </c>
    </row>
    <row r="44">
      <c r="A44" s="2" t="s">
        <v>61</v>
      </c>
      <c r="B44" s="2" t="str">
        <f>TRIM(C44)</f>
        <v>LK003</v>
      </c>
      <c r="C44" s="2" t="s">
        <v>23</v>
      </c>
      <c r="D44" s="3" t="str">
        <f>VLOOKUP(B44,'danh-muc-linh-kien'!$A$2:$D$9,2,FALSE)</f>
        <v xml:space="preserve">Jetson Nano 4GB</v>
      </c>
      <c r="E44" s="2">
        <v>4</v>
      </c>
      <c r="F44" s="4">
        <v>46283</v>
      </c>
    </row>
    <row r="45">
      <c r="A45" s="2" t="s">
        <v>62</v>
      </c>
      <c r="B45" s="2" t="str">
        <f>TRIM(C45)</f>
        <v>LK002</v>
      </c>
      <c r="C45" s="2" t="s">
        <v>11</v>
      </c>
      <c r="D45" s="3" t="str">
        <f>VLOOKUP(B45,'danh-muc-linh-kien'!$A$2:$D$9,2,FALSE)</f>
        <v xml:space="preserve">Raspberry Pi 4B 8GB</v>
      </c>
      <c r="E45" s="2">
        <v>8</v>
      </c>
      <c r="F45" s="4">
        <v>46163</v>
      </c>
    </row>
    <row r="46">
      <c r="A46" s="2" t="s">
        <v>63</v>
      </c>
      <c r="B46" s="2" t="str">
        <f>TRIM(C46)</f>
        <v>LK001</v>
      </c>
      <c r="C46" s="2" t="s">
        <v>7</v>
      </c>
      <c r="D46" s="3" t="str">
        <f>VLOOKUP(B46,'danh-muc-linh-kien'!$A$2:$D$9,2,FALSE)</f>
        <v xml:space="preserve">Raspberry Pi 4B 4GB</v>
      </c>
      <c r="E46" s="2">
        <v>4</v>
      </c>
      <c r="F46" s="4">
        <v>45881</v>
      </c>
    </row>
    <row r="47">
      <c r="A47" s="2" t="s">
        <v>64</v>
      </c>
      <c r="B47" s="2" t="str">
        <f>TRIM(C47)</f>
        <v>LK005</v>
      </c>
      <c r="C47" s="2" t="s">
        <v>38</v>
      </c>
      <c r="D47" s="3" t="str">
        <f>VLOOKUP(B47,'danh-muc-linh-kien'!$A$2:$D$9,2,FALSE)</f>
        <v xml:space="preserve">Intel NUC N100 8GB</v>
      </c>
      <c r="E47" s="2">
        <v>8</v>
      </c>
      <c r="F47" s="4">
        <v>45790</v>
      </c>
    </row>
    <row r="48">
      <c r="A48" s="2" t="s">
        <v>65</v>
      </c>
      <c r="B48" s="2" t="str">
        <f>TRIM(C48)</f>
        <v>LK004</v>
      </c>
      <c r="C48" s="2" t="s">
        <v>66</v>
      </c>
      <c r="D48" s="3" t="str">
        <f>VLOOKUP(B48,'danh-muc-linh-kien'!$A$2:$D$9,2,FALSE)</f>
        <v xml:space="preserve">Orange Pi 5 8GB</v>
      </c>
      <c r="E48" s="2">
        <v>8</v>
      </c>
      <c r="F48" s="4">
        <v>46058</v>
      </c>
    </row>
    <row r="49">
      <c r="A49" s="2" t="s">
        <v>67</v>
      </c>
      <c r="B49" s="2" t="str">
        <f>TRIM(C49)</f>
        <v>LK008</v>
      </c>
      <c r="C49" s="2" t="s">
        <v>36</v>
      </c>
      <c r="D49" s="3" t="str">
        <f>VLOOKUP(B49,'danh-muc-linh-kien'!$A$2:$D$9,2,FALSE)</f>
        <v xml:space="preserve">Rock Pi 4 4GB</v>
      </c>
      <c r="E49" s="2">
        <v>4</v>
      </c>
      <c r="F49" s="4">
        <v>45740</v>
      </c>
    </row>
    <row r="50">
      <c r="A50" s="2" t="s">
        <v>68</v>
      </c>
      <c r="B50" s="2" t="str">
        <f>TRIM(C50)</f>
        <v>LK003</v>
      </c>
      <c r="C50" s="2" t="s">
        <v>23</v>
      </c>
      <c r="D50" s="3" t="str">
        <f>VLOOKUP(B50,'danh-muc-linh-kien'!$A$2:$D$9,2,FALSE)</f>
        <v xml:space="preserve">Jetson Nano 4GB</v>
      </c>
      <c r="E50" s="2">
        <v>4</v>
      </c>
      <c r="F50" s="4">
        <v>46117</v>
      </c>
    </row>
    <row r="51">
      <c r="A51" s="2" t="s">
        <v>69</v>
      </c>
      <c r="B51" s="2" t="str">
        <f>TRIM(C51)</f>
        <v>LK007</v>
      </c>
      <c r="C51" s="2" t="s">
        <v>13</v>
      </c>
      <c r="D51" s="3" t="str">
        <f>VLOOKUP(B51,'danh-muc-linh-kien'!$A$2:$D$9,2,FALSE)</f>
        <v xml:space="preserve">Mini PC Celeron J4125 4GB</v>
      </c>
      <c r="E51" s="2">
        <v>4</v>
      </c>
      <c r="F51" s="4">
        <v>46220</v>
      </c>
    </row>
    <row r="52">
      <c r="A52" s="2" t="s">
        <v>70</v>
      </c>
      <c r="B52" s="2" t="str">
        <f>TRIM(C52)</f>
        <v>LK005</v>
      </c>
      <c r="C52" s="2" t="s">
        <v>71</v>
      </c>
      <c r="D52" s="3" t="str">
        <f>VLOOKUP(B52,'danh-muc-linh-kien'!$A$2:$D$9,2,FALSE)</f>
        <v xml:space="preserve">Intel NUC N100 8GB</v>
      </c>
      <c r="E52" s="2">
        <v>8</v>
      </c>
      <c r="F52" s="4">
        <v>46098</v>
      </c>
    </row>
    <row r="53">
      <c r="A53" s="2" t="s">
        <v>72</v>
      </c>
      <c r="B53" s="2" t="str">
        <f>TRIM(C53)</f>
        <v>LK005</v>
      </c>
      <c r="C53" s="2" t="s">
        <v>38</v>
      </c>
      <c r="D53" s="3" t="str">
        <f>VLOOKUP(B53,'danh-muc-linh-kien'!$A$2:$D$9,2,FALSE)</f>
        <v xml:space="preserve">Intel NUC N100 8GB</v>
      </c>
      <c r="E53" s="2">
        <v>8</v>
      </c>
      <c r="F53" s="4">
        <v>46083</v>
      </c>
    </row>
    <row r="54">
      <c r="A54" s="2" t="s">
        <v>73</v>
      </c>
      <c r="B54" s="2" t="str">
        <f>TRIM(C54)</f>
        <v>LK006</v>
      </c>
      <c r="C54" s="2" t="s">
        <v>47</v>
      </c>
      <c r="D54" s="3" t="str">
        <f>VLOOKUP(B54,'danh-muc-linh-kien'!$A$2:$D$9,2,FALSE)</f>
        <v xml:space="preserve">Gateway ARM 2GB</v>
      </c>
      <c r="E54" s="2">
        <v>2</v>
      </c>
      <c r="F54" s="4">
        <v>46047</v>
      </c>
    </row>
    <row r="55">
      <c r="A55" s="2" t="s">
        <v>74</v>
      </c>
      <c r="B55" s="2" t="str">
        <f>TRIM(C55)</f>
        <v>LK004</v>
      </c>
      <c r="C55" s="2" t="s">
        <v>9</v>
      </c>
      <c r="D55" s="3" t="str">
        <f>VLOOKUP(B55,'danh-muc-linh-kien'!$A$2:$D$9,2,FALSE)</f>
        <v xml:space="preserve">Orange Pi 5 8GB</v>
      </c>
      <c r="E55" s="2">
        <v>8</v>
      </c>
      <c r="F55" s="4">
        <v>45812</v>
      </c>
    </row>
    <row r="56">
      <c r="A56" s="2" t="s">
        <v>75</v>
      </c>
      <c r="B56" s="2" t="str">
        <f>TRIM(C56)</f>
        <v>LK002</v>
      </c>
      <c r="C56" s="2" t="s">
        <v>11</v>
      </c>
      <c r="D56" s="3" t="str">
        <f>VLOOKUP(B56,'danh-muc-linh-kien'!$A$2:$D$9,2,FALSE)</f>
        <v xml:space="preserve">Raspberry Pi 4B 8GB</v>
      </c>
      <c r="E56" s="2">
        <v>8</v>
      </c>
      <c r="F56" s="4">
        <v>45838</v>
      </c>
    </row>
    <row r="57">
      <c r="A57" s="2" t="s">
        <v>76</v>
      </c>
      <c r="B57" s="2" t="str">
        <f>TRIM(C57)</f>
        <v>LK003</v>
      </c>
      <c r="C57" s="2" t="s">
        <v>23</v>
      </c>
      <c r="D57" s="3" t="str">
        <f>VLOOKUP(B57,'danh-muc-linh-kien'!$A$2:$D$9,2,FALSE)</f>
        <v xml:space="preserve">Jetson Nano 4GB</v>
      </c>
      <c r="E57" s="2">
        <v>4</v>
      </c>
      <c r="F57" s="4">
        <v>45895</v>
      </c>
    </row>
    <row r="58">
      <c r="A58" s="2" t="s">
        <v>77</v>
      </c>
      <c r="B58" s="2" t="str">
        <f>TRIM(C58)</f>
        <v>LK004</v>
      </c>
      <c r="C58" s="2" t="s">
        <v>9</v>
      </c>
      <c r="D58" s="3" t="str">
        <f>VLOOKUP(B58,'danh-muc-linh-kien'!$A$2:$D$9,2,FALSE)</f>
        <v xml:space="preserve">Orange Pi 5 8GB</v>
      </c>
      <c r="E58" s="2">
        <v>8</v>
      </c>
      <c r="F58" s="4">
        <v>45670</v>
      </c>
    </row>
    <row r="59">
      <c r="A59" s="2" t="s">
        <v>78</v>
      </c>
      <c r="B59" s="2" t="str">
        <f>TRIM(C59)</f>
        <v>LK008</v>
      </c>
      <c r="C59" s="2" t="s">
        <v>36</v>
      </c>
      <c r="D59" s="3" t="str">
        <f>VLOOKUP(B59,'danh-muc-linh-kien'!$A$2:$D$9,2,FALSE)</f>
        <v xml:space="preserve">Rock Pi 4 4GB</v>
      </c>
      <c r="E59" s="2">
        <v>4</v>
      </c>
      <c r="F59" s="4">
        <v>46261</v>
      </c>
    </row>
    <row r="60">
      <c r="A60" s="2" t="s">
        <v>79</v>
      </c>
      <c r="B60" s="2" t="str">
        <f>TRIM(C60)</f>
        <v>LK003</v>
      </c>
      <c r="C60" s="2" t="s">
        <v>23</v>
      </c>
      <c r="D60" s="3" t="str">
        <f>VLOOKUP(B60,'danh-muc-linh-kien'!$A$2:$D$9,2,FALSE)</f>
        <v xml:space="preserve">Jetson Nano 4GB</v>
      </c>
      <c r="E60" s="2">
        <v>4</v>
      </c>
      <c r="F60" s="4">
        <v>45927</v>
      </c>
    </row>
    <row r="61">
      <c r="A61" s="2" t="s">
        <v>80</v>
      </c>
      <c r="B61" s="2" t="str">
        <f>TRIM(C61)</f>
        <v>LK005</v>
      </c>
      <c r="C61" s="2" t="s">
        <v>38</v>
      </c>
      <c r="D61" s="3" t="str">
        <f>VLOOKUP(B61,'danh-muc-linh-kien'!$A$2:$D$9,2,FALSE)</f>
        <v xml:space="preserve">Intel NUC N100 8GB</v>
      </c>
      <c r="E61" s="2">
        <v>8</v>
      </c>
      <c r="F61" s="4">
        <v>45662</v>
      </c>
    </row>
    <row r="62">
      <c r="A62" s="2" t="s">
        <v>81</v>
      </c>
      <c r="B62" s="2" t="str">
        <f>TRIM(C62)</f>
        <v>LK003</v>
      </c>
      <c r="C62" s="2" t="s">
        <v>23</v>
      </c>
      <c r="D62" s="3" t="str">
        <f>VLOOKUP(B62,'danh-muc-linh-kien'!$A$2:$D$9,2,FALSE)</f>
        <v xml:space="preserve">Jetson Nano 4GB</v>
      </c>
      <c r="E62" s="2">
        <v>4</v>
      </c>
      <c r="F62" s="4">
        <v>46087</v>
      </c>
    </row>
    <row r="63">
      <c r="A63" s="2" t="s">
        <v>82</v>
      </c>
      <c r="B63" s="2" t="str">
        <f>TRIM(C63)</f>
        <v>LK006</v>
      </c>
      <c r="C63" s="2" t="s">
        <v>47</v>
      </c>
      <c r="D63" s="3" t="str">
        <f>VLOOKUP(B63,'danh-muc-linh-kien'!$A$2:$D$9,2,FALSE)</f>
        <v xml:space="preserve">Gateway ARM 2GB</v>
      </c>
      <c r="E63" s="2">
        <v>2</v>
      </c>
      <c r="F63" s="4">
        <v>46282</v>
      </c>
    </row>
    <row r="64">
      <c r="A64" s="2" t="s">
        <v>83</v>
      </c>
      <c r="B64" s="2" t="str">
        <f>TRIM(C64)</f>
        <v>LK006</v>
      </c>
      <c r="C64" s="2" t="s">
        <v>47</v>
      </c>
      <c r="D64" s="3" t="str">
        <f>VLOOKUP(B64,'danh-muc-linh-kien'!$A$2:$D$9,2,FALSE)</f>
        <v xml:space="preserve">Gateway ARM 2GB</v>
      </c>
      <c r="E64" s="2">
        <v>2</v>
      </c>
      <c r="F64" s="4">
        <v>45786</v>
      </c>
    </row>
    <row r="65">
      <c r="A65" s="2" t="s">
        <v>84</v>
      </c>
      <c r="B65" s="2" t="str">
        <f>TRIM(C65)</f>
        <v>LK001</v>
      </c>
      <c r="C65" s="2" t="s">
        <v>7</v>
      </c>
      <c r="D65" s="3" t="str">
        <f>VLOOKUP(B65,'danh-muc-linh-kien'!$A$2:$D$9,2,FALSE)</f>
        <v xml:space="preserve">Raspberry Pi 4B 4GB</v>
      </c>
      <c r="E65" s="2">
        <v>4</v>
      </c>
      <c r="F65" s="4">
        <v>46125</v>
      </c>
    </row>
    <row r="66">
      <c r="A66" s="2" t="s">
        <v>85</v>
      </c>
      <c r="B66" s="2" t="str">
        <f>TRIM(C66)</f>
        <v>LK007</v>
      </c>
      <c r="C66" s="2" t="s">
        <v>13</v>
      </c>
      <c r="D66" s="3" t="str">
        <f>VLOOKUP(B66,'danh-muc-linh-kien'!$A$2:$D$9,2,FALSE)</f>
        <v xml:space="preserve">Mini PC Celeron J4125 4GB</v>
      </c>
      <c r="E66" s="2">
        <v>4</v>
      </c>
      <c r="F66" s="4">
        <v>46065</v>
      </c>
    </row>
    <row r="67">
      <c r="A67" s="2" t="s">
        <v>86</v>
      </c>
      <c r="B67" s="2" t="str">
        <f>TRIM(C67)</f>
        <v>LK007</v>
      </c>
      <c r="C67" s="2" t="s">
        <v>13</v>
      </c>
      <c r="D67" s="3" t="str">
        <f>VLOOKUP(B67,'danh-muc-linh-kien'!$A$2:$D$9,2,FALSE)</f>
        <v xml:space="preserve">Mini PC Celeron J4125 4GB</v>
      </c>
      <c r="E67" s="2">
        <v>4</v>
      </c>
      <c r="F67" s="4">
        <v>46061</v>
      </c>
    </row>
    <row r="68">
      <c r="A68" s="2" t="s">
        <v>87</v>
      </c>
      <c r="B68" s="2" t="str">
        <f>TRIM(C68)</f>
        <v>LK002</v>
      </c>
      <c r="C68" s="2" t="s">
        <v>11</v>
      </c>
      <c r="D68" s="3" t="str">
        <f>VLOOKUP(B68,'danh-muc-linh-kien'!$A$2:$D$9,2,FALSE)</f>
        <v xml:space="preserve">Raspberry Pi 4B 8GB</v>
      </c>
      <c r="E68" s="2">
        <v>8</v>
      </c>
      <c r="F68" s="4">
        <v>46151</v>
      </c>
    </row>
    <row r="69">
      <c r="A69" s="2" t="s">
        <v>88</v>
      </c>
      <c r="B69" s="2" t="str">
        <f>TRIM(C69)</f>
        <v>LK007</v>
      </c>
      <c r="C69" s="2" t="s">
        <v>13</v>
      </c>
      <c r="D69" s="3" t="str">
        <f>VLOOKUP(B69,'danh-muc-linh-kien'!$A$2:$D$9,2,FALSE)</f>
        <v xml:space="preserve">Mini PC Celeron J4125 4GB</v>
      </c>
      <c r="E69" s="2">
        <v>4</v>
      </c>
      <c r="F69" s="4">
        <v>45721</v>
      </c>
    </row>
    <row r="70">
      <c r="A70" s="2" t="s">
        <v>89</v>
      </c>
      <c r="B70" s="2" t="str">
        <f>TRIM(C70)</f>
        <v>LK004</v>
      </c>
      <c r="C70" s="2" t="s">
        <v>21</v>
      </c>
      <c r="D70" s="3" t="str">
        <f>VLOOKUP(B70,'danh-muc-linh-kien'!$A$2:$D$9,2,FALSE)</f>
        <v xml:space="preserve">Orange Pi 5 8GB</v>
      </c>
      <c r="E70" s="2">
        <v>8</v>
      </c>
      <c r="F70" s="4">
        <v>45871</v>
      </c>
    </row>
    <row r="71">
      <c r="A71" s="2" t="s">
        <v>90</v>
      </c>
      <c r="B71" s="2" t="str">
        <f>TRIM(C71)</f>
        <v>LK008</v>
      </c>
      <c r="C71" s="2" t="s">
        <v>36</v>
      </c>
      <c r="D71" s="3" t="str">
        <f>VLOOKUP(B71,'danh-muc-linh-kien'!$A$2:$D$9,2,FALSE)</f>
        <v xml:space="preserve">Rock Pi 4 4GB</v>
      </c>
      <c r="E71" s="2">
        <v>4</v>
      </c>
      <c r="F71" s="4">
        <v>45824</v>
      </c>
    </row>
    <row r="72">
      <c r="A72" s="2" t="s">
        <v>91</v>
      </c>
      <c r="B72" s="2" t="str">
        <f>TRIM(C72)</f>
        <v>LK002</v>
      </c>
      <c r="C72" s="2" t="s">
        <v>11</v>
      </c>
      <c r="D72" s="3" t="str">
        <f>VLOOKUP(B72,'danh-muc-linh-kien'!$A$2:$D$9,2,FALSE)</f>
        <v xml:space="preserve">Raspberry Pi 4B 8GB</v>
      </c>
      <c r="E72" s="2">
        <v>8</v>
      </c>
      <c r="F72" s="4">
        <v>46006</v>
      </c>
    </row>
    <row r="73">
      <c r="A73" s="2" t="s">
        <v>92</v>
      </c>
      <c r="B73" s="2" t="str">
        <f>TRIM(C73)</f>
        <v>LK001</v>
      </c>
      <c r="C73" s="2" t="s">
        <v>7</v>
      </c>
      <c r="D73" s="3" t="str">
        <f>VLOOKUP(B73,'danh-muc-linh-kien'!$A$2:$D$9,2,FALSE)</f>
        <v xml:space="preserve">Raspberry Pi 4B 4GB</v>
      </c>
      <c r="E73" s="2">
        <v>4</v>
      </c>
      <c r="F73" s="4">
        <v>45762</v>
      </c>
    </row>
    <row r="74">
      <c r="A74" s="2" t="s">
        <v>93</v>
      </c>
      <c r="B74" s="2" t="str">
        <f>TRIM(C74)</f>
        <v>LK001</v>
      </c>
      <c r="C74" s="2" t="s">
        <v>7</v>
      </c>
      <c r="D74" s="3" t="str">
        <f>VLOOKUP(B74,'danh-muc-linh-kien'!$A$2:$D$9,2,FALSE)</f>
        <v xml:space="preserve">Raspberry Pi 4B 4GB</v>
      </c>
      <c r="E74" s="2">
        <v>4</v>
      </c>
      <c r="F74" s="4">
        <v>46238</v>
      </c>
    </row>
    <row r="75">
      <c r="A75" s="2" t="s">
        <v>94</v>
      </c>
      <c r="B75" s="2" t="str">
        <f>TRIM(C75)</f>
        <v>LK003</v>
      </c>
      <c r="C75" s="2" t="s">
        <v>23</v>
      </c>
      <c r="D75" s="3" t="str">
        <f>VLOOKUP(B75,'danh-muc-linh-kien'!$A$2:$D$9,2,FALSE)</f>
        <v xml:space="preserve">Jetson Nano 4GB</v>
      </c>
      <c r="E75" s="2">
        <v>4</v>
      </c>
      <c r="F75" s="4">
        <v>46207</v>
      </c>
    </row>
    <row r="76">
      <c r="A76" s="2" t="s">
        <v>95</v>
      </c>
      <c r="B76" s="2" t="str">
        <f>TRIM(C76)</f>
        <v>LK002</v>
      </c>
      <c r="C76" s="2" t="s">
        <v>26</v>
      </c>
      <c r="D76" s="3" t="str">
        <f>VLOOKUP(B76,'danh-muc-linh-kien'!$A$2:$D$9,2,FALSE)</f>
        <v xml:space="preserve">Raspberry Pi 4B 8GB</v>
      </c>
      <c r="E76" s="2">
        <v>8</v>
      </c>
      <c r="F76" s="4">
        <v>46286</v>
      </c>
    </row>
    <row r="77">
      <c r="A77" s="2" t="s">
        <v>96</v>
      </c>
      <c r="B77" s="2" t="str">
        <f>TRIM(C77)</f>
        <v>LK001</v>
      </c>
      <c r="C77" s="2" t="s">
        <v>7</v>
      </c>
      <c r="D77" s="3" t="str">
        <f>VLOOKUP(B77,'danh-muc-linh-kien'!$A$2:$D$9,2,FALSE)</f>
        <v xml:space="preserve">Raspberry Pi 4B 4GB</v>
      </c>
      <c r="E77" s="2">
        <v>4</v>
      </c>
      <c r="F77" s="4">
        <v>45730</v>
      </c>
    </row>
    <row r="78">
      <c r="A78" s="2" t="s">
        <v>97</v>
      </c>
      <c r="B78" s="2" t="str">
        <f>TRIM(C78)</f>
        <v>LK004</v>
      </c>
      <c r="C78" s="2" t="s">
        <v>9</v>
      </c>
      <c r="D78" s="3" t="str">
        <f>VLOOKUP(B78,'danh-muc-linh-kien'!$A$2:$D$9,2,FALSE)</f>
        <v xml:space="preserve">Orange Pi 5 8GB</v>
      </c>
      <c r="E78" s="2">
        <v>8</v>
      </c>
      <c r="F78" s="4">
        <v>46286</v>
      </c>
    </row>
    <row r="79">
      <c r="A79" s="2" t="s">
        <v>98</v>
      </c>
      <c r="B79" s="2" t="str">
        <f>TRIM(C79)</f>
        <v>LK007</v>
      </c>
      <c r="C79" s="2" t="s">
        <v>13</v>
      </c>
      <c r="D79" s="3" t="str">
        <f>VLOOKUP(B79,'danh-muc-linh-kien'!$A$2:$D$9,2,FALSE)</f>
        <v xml:space="preserve">Mini PC Celeron J4125 4GB</v>
      </c>
      <c r="E79" s="2">
        <v>4</v>
      </c>
      <c r="F79" s="4">
        <v>45810</v>
      </c>
    </row>
    <row r="80">
      <c r="A80" s="2" t="s">
        <v>99</v>
      </c>
      <c r="B80" s="2" t="str">
        <f>TRIM(C80)</f>
        <v>LK005</v>
      </c>
      <c r="C80" s="2" t="s">
        <v>38</v>
      </c>
      <c r="D80" s="3" t="str">
        <f>VLOOKUP(B80,'danh-muc-linh-kien'!$A$2:$D$9,2,FALSE)</f>
        <v xml:space="preserve">Intel NUC N100 8GB</v>
      </c>
      <c r="E80" s="2">
        <v>8</v>
      </c>
      <c r="F80" s="4">
        <v>46013</v>
      </c>
    </row>
    <row r="81">
      <c r="A81" s="2" t="s">
        <v>100</v>
      </c>
      <c r="B81" s="2" t="str">
        <f>TRIM(C81)</f>
        <v>LK006</v>
      </c>
      <c r="C81" s="2" t="s">
        <v>47</v>
      </c>
      <c r="D81" s="3" t="str">
        <f>VLOOKUP(B81,'danh-muc-linh-kien'!$A$2:$D$9,2,FALSE)</f>
        <v xml:space="preserve">Gateway ARM 2GB</v>
      </c>
      <c r="E81" s="2">
        <v>2</v>
      </c>
      <c r="F81" s="4">
        <v>46143</v>
      </c>
    </row>
    <row r="82">
      <c r="A82" s="2" t="s">
        <v>101</v>
      </c>
      <c r="B82" s="2" t="str">
        <f>TRIM(C82)</f>
        <v>LK002</v>
      </c>
      <c r="C82" s="2" t="s">
        <v>11</v>
      </c>
      <c r="D82" s="3" t="str">
        <f>VLOOKUP(B82,'danh-muc-linh-kien'!$A$2:$D$9,2,FALSE)</f>
        <v xml:space="preserve">Raspberry Pi 4B 8GB</v>
      </c>
      <c r="E82" s="2">
        <v>8</v>
      </c>
      <c r="F82" s="4">
        <v>45776</v>
      </c>
    </row>
    <row r="83">
      <c r="A83" s="2" t="s">
        <v>102</v>
      </c>
      <c r="B83" s="2" t="str">
        <f>TRIM(C83)</f>
        <v>LK008</v>
      </c>
      <c r="C83" s="2" t="s">
        <v>36</v>
      </c>
      <c r="D83" s="3" t="str">
        <f>VLOOKUP(B83,'danh-muc-linh-kien'!$A$2:$D$9,2,FALSE)</f>
        <v xml:space="preserve">Rock Pi 4 4GB</v>
      </c>
      <c r="E83" s="2">
        <v>4</v>
      </c>
      <c r="F83" s="4">
        <v>46135</v>
      </c>
    </row>
    <row r="84">
      <c r="A84" s="2" t="s">
        <v>103</v>
      </c>
      <c r="B84" s="2" t="str">
        <f>TRIM(C84)</f>
        <v>LK008</v>
      </c>
      <c r="C84" s="2" t="s">
        <v>36</v>
      </c>
      <c r="D84" s="3" t="str">
        <f>VLOOKUP(B84,'danh-muc-linh-kien'!$A$2:$D$9,2,FALSE)</f>
        <v xml:space="preserve">Rock Pi 4 4GB</v>
      </c>
      <c r="E84" s="2">
        <v>4</v>
      </c>
      <c r="F84" s="4">
        <v>46153</v>
      </c>
    </row>
    <row r="85">
      <c r="A85" s="2" t="s">
        <v>104</v>
      </c>
      <c r="B85" s="2" t="str">
        <f>TRIM(C85)</f>
        <v>LK005</v>
      </c>
      <c r="C85" s="2" t="s">
        <v>105</v>
      </c>
      <c r="D85" s="3" t="str">
        <f>VLOOKUP(B85,'danh-muc-linh-kien'!$A$2:$D$9,2,FALSE)</f>
        <v xml:space="preserve">Intel NUC N100 8GB</v>
      </c>
      <c r="E85" s="2">
        <v>8</v>
      </c>
      <c r="F85" s="4">
        <v>45805</v>
      </c>
    </row>
    <row r="86">
      <c r="A86" s="2" t="s">
        <v>106</v>
      </c>
      <c r="B86" s="2" t="str">
        <f>TRIM(C86)</f>
        <v>LK002</v>
      </c>
      <c r="C86" s="2" t="s">
        <v>11</v>
      </c>
      <c r="D86" s="3" t="str">
        <f>VLOOKUP(B86,'danh-muc-linh-kien'!$A$2:$D$9,2,FALSE)</f>
        <v xml:space="preserve">Raspberry Pi 4B 8GB</v>
      </c>
      <c r="E86" s="2">
        <v>8</v>
      </c>
      <c r="F86" s="4">
        <v>46008</v>
      </c>
    </row>
    <row r="87">
      <c r="A87" s="2" t="s">
        <v>107</v>
      </c>
      <c r="B87" s="2" t="str">
        <f>TRIM(C87)</f>
        <v>LK005</v>
      </c>
      <c r="C87" s="2" t="s">
        <v>38</v>
      </c>
      <c r="D87" s="3" t="str">
        <f>VLOOKUP(B87,'danh-muc-linh-kien'!$A$2:$D$9,2,FALSE)</f>
        <v xml:space="preserve">Intel NUC N100 8GB</v>
      </c>
      <c r="E87" s="2">
        <v>8</v>
      </c>
      <c r="F87" s="4">
        <v>46148</v>
      </c>
    </row>
    <row r="88">
      <c r="A88" s="2" t="s">
        <v>108</v>
      </c>
      <c r="B88" s="2" t="str">
        <f>TRIM(C88)</f>
        <v>LK003</v>
      </c>
      <c r="C88" s="2" t="s">
        <v>23</v>
      </c>
      <c r="D88" s="3" t="str">
        <f>VLOOKUP(B88,'danh-muc-linh-kien'!$A$2:$D$9,2,FALSE)</f>
        <v xml:space="preserve">Jetson Nano 4GB</v>
      </c>
      <c r="E88" s="2">
        <v>4</v>
      </c>
      <c r="F88" s="4">
        <v>46186</v>
      </c>
    </row>
    <row r="89">
      <c r="A89" s="2" t="s">
        <v>109</v>
      </c>
      <c r="B89" s="2" t="str">
        <f>TRIM(C89)</f>
        <v>LK001</v>
      </c>
      <c r="C89" s="2" t="s">
        <v>7</v>
      </c>
      <c r="D89" s="3" t="str">
        <f>VLOOKUP(B89,'danh-muc-linh-kien'!$A$2:$D$9,2,FALSE)</f>
        <v xml:space="preserve">Raspberry Pi 4B 4GB</v>
      </c>
      <c r="E89" s="2">
        <v>4</v>
      </c>
      <c r="F89" s="4">
        <v>45868</v>
      </c>
    </row>
    <row r="90">
      <c r="A90" s="2" t="s">
        <v>110</v>
      </c>
      <c r="B90" s="2" t="str">
        <f>TRIM(C90)</f>
        <v>LK006</v>
      </c>
      <c r="C90" s="2" t="s">
        <v>47</v>
      </c>
      <c r="D90" s="3" t="str">
        <f>VLOOKUP(B90,'danh-muc-linh-kien'!$A$2:$D$9,2,FALSE)</f>
        <v xml:space="preserve">Gateway ARM 2GB</v>
      </c>
      <c r="E90" s="2">
        <v>2</v>
      </c>
      <c r="F90" s="4">
        <v>45808</v>
      </c>
    </row>
    <row r="91">
      <c r="A91" s="2" t="s">
        <v>111</v>
      </c>
      <c r="B91" s="2" t="str">
        <f>TRIM(C91)</f>
        <v>LK001</v>
      </c>
      <c r="C91" s="2" t="s">
        <v>7</v>
      </c>
      <c r="D91" s="3" t="str">
        <f>VLOOKUP(B91,'danh-muc-linh-kien'!$A$2:$D$9,2,FALSE)</f>
        <v xml:space="preserve">Raspberry Pi 4B 4GB</v>
      </c>
      <c r="E91" s="2">
        <v>4</v>
      </c>
      <c r="F91" s="4">
        <v>46198</v>
      </c>
    </row>
    <row r="92">
      <c r="A92" s="2" t="s">
        <v>112</v>
      </c>
      <c r="B92" s="2" t="str">
        <f>TRIM(C92)</f>
        <v>LK005</v>
      </c>
      <c r="C92" s="2" t="s">
        <v>38</v>
      </c>
      <c r="D92" s="3" t="str">
        <f>VLOOKUP(B92,'danh-muc-linh-kien'!$A$2:$D$9,2,FALSE)</f>
        <v xml:space="preserve">Intel NUC N100 8GB</v>
      </c>
      <c r="E92" s="2">
        <v>8</v>
      </c>
      <c r="F92" s="4">
        <v>46316</v>
      </c>
    </row>
    <row r="93">
      <c r="A93" s="2" t="s">
        <v>113</v>
      </c>
      <c r="B93" s="2" t="str">
        <f>TRIM(C93)</f>
        <v>LK002</v>
      </c>
      <c r="C93" s="2" t="s">
        <v>11</v>
      </c>
      <c r="D93" s="3" t="str">
        <f>VLOOKUP(B93,'danh-muc-linh-kien'!$A$2:$D$9,2,FALSE)</f>
        <v xml:space="preserve">Raspberry Pi 4B 8GB</v>
      </c>
      <c r="E93" s="2">
        <v>8</v>
      </c>
      <c r="F93" s="4">
        <v>45925</v>
      </c>
    </row>
    <row r="94">
      <c r="A94" s="2" t="s">
        <v>114</v>
      </c>
      <c r="B94" s="2" t="str">
        <f>TRIM(C94)</f>
        <v>LK006</v>
      </c>
      <c r="C94" s="2" t="s">
        <v>47</v>
      </c>
      <c r="D94" s="3" t="str">
        <f>VLOOKUP(B94,'danh-muc-linh-kien'!$A$2:$D$9,2,FALSE)</f>
        <v xml:space="preserve">Gateway ARM 2GB</v>
      </c>
      <c r="E94" s="2">
        <v>2</v>
      </c>
      <c r="F94" s="4">
        <v>45829</v>
      </c>
    </row>
    <row r="95">
      <c r="A95" s="2" t="s">
        <v>115</v>
      </c>
      <c r="B95" s="2" t="str">
        <f>TRIM(C95)</f>
        <v>LK006</v>
      </c>
      <c r="C95" s="2" t="s">
        <v>47</v>
      </c>
      <c r="D95" s="3" t="str">
        <f>VLOOKUP(B95,'danh-muc-linh-kien'!$A$2:$D$9,2,FALSE)</f>
        <v xml:space="preserve">Gateway ARM 2GB</v>
      </c>
      <c r="E95" s="2">
        <v>2</v>
      </c>
      <c r="F95" s="4">
        <v>45886</v>
      </c>
    </row>
    <row r="96">
      <c r="A96" s="2" t="s">
        <v>116</v>
      </c>
      <c r="B96" s="2" t="str">
        <f>TRIM(C96)</f>
        <v>LK006</v>
      </c>
      <c r="C96" s="2" t="s">
        <v>47</v>
      </c>
      <c r="D96" s="3" t="str">
        <f>VLOOKUP(B96,'danh-muc-linh-kien'!$A$2:$D$9,2,FALSE)</f>
        <v xml:space="preserve">Gateway ARM 2GB</v>
      </c>
      <c r="E96" s="2">
        <v>2</v>
      </c>
      <c r="F96" s="4">
        <v>46309</v>
      </c>
    </row>
    <row r="97">
      <c r="A97" s="2" t="s">
        <v>117</v>
      </c>
      <c r="B97" s="2" t="str">
        <f>TRIM(C97)</f>
        <v>LK004</v>
      </c>
      <c r="C97" s="2" t="s">
        <v>9</v>
      </c>
      <c r="D97" s="3" t="str">
        <f>VLOOKUP(B97,'danh-muc-linh-kien'!$A$2:$D$9,2,FALSE)</f>
        <v xml:space="preserve">Orange Pi 5 8GB</v>
      </c>
      <c r="E97" s="2">
        <v>8</v>
      </c>
      <c r="F97" s="4">
        <v>46285</v>
      </c>
    </row>
    <row r="98">
      <c r="A98" s="2" t="s">
        <v>118</v>
      </c>
      <c r="B98" s="2" t="str">
        <f>TRIM(C98)</f>
        <v>LK004</v>
      </c>
      <c r="C98" s="2" t="s">
        <v>9</v>
      </c>
      <c r="D98" s="3" t="str">
        <f>VLOOKUP(B98,'danh-muc-linh-kien'!$A$2:$D$9,2,FALSE)</f>
        <v xml:space="preserve">Orange Pi 5 8GB</v>
      </c>
      <c r="E98" s="2">
        <v>8</v>
      </c>
      <c r="F98" s="4">
        <v>45903</v>
      </c>
    </row>
    <row r="99">
      <c r="A99" s="2" t="s">
        <v>119</v>
      </c>
      <c r="B99" s="2" t="str">
        <f>TRIM(C99)</f>
        <v>LK007</v>
      </c>
      <c r="C99" s="2" t="s">
        <v>13</v>
      </c>
      <c r="D99" s="3" t="str">
        <f>VLOOKUP(B99,'danh-muc-linh-kien'!$A$2:$D$9,2,FALSE)</f>
        <v xml:space="preserve">Mini PC Celeron J4125 4GB</v>
      </c>
      <c r="E99" s="2">
        <v>4</v>
      </c>
      <c r="F99" s="4">
        <v>45890</v>
      </c>
    </row>
    <row r="100">
      <c r="A100" s="2" t="s">
        <v>120</v>
      </c>
      <c r="B100" s="2" t="str">
        <f>TRIM(C100)</f>
        <v>LK004</v>
      </c>
      <c r="C100" s="2" t="s">
        <v>9</v>
      </c>
      <c r="D100" s="3" t="str">
        <f>VLOOKUP(B100,'danh-muc-linh-kien'!$A$2:$D$9,2,FALSE)</f>
        <v xml:space="preserve">Orange Pi 5 8GB</v>
      </c>
      <c r="E100" s="2">
        <v>8</v>
      </c>
      <c r="F100" s="4">
        <v>46188</v>
      </c>
    </row>
    <row r="101">
      <c r="A101" s="2" t="s">
        <v>121</v>
      </c>
      <c r="B101" s="2" t="str">
        <f>TRIM(C101)</f>
        <v>LK008</v>
      </c>
      <c r="C101" s="2" t="s">
        <v>36</v>
      </c>
      <c r="D101" s="3" t="str">
        <f>VLOOKUP(B101,'danh-muc-linh-kien'!$A$2:$D$9,2,FALSE)</f>
        <v xml:space="preserve">Rock Pi 4 4GB</v>
      </c>
      <c r="E101" s="2">
        <v>4</v>
      </c>
      <c r="F101" s="4">
        <v>46022</v>
      </c>
    </row>
  </sheetData>
  <autoFilter ref="A1:F101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16"/>
    <col customWidth="1" min="2" max="2" width="30"/>
    <col customWidth="1" min="3" max="4" width="14"/>
  </cols>
  <sheetData>
    <row r="1">
      <c r="A1" s="1" t="s">
        <v>2</v>
      </c>
      <c r="B1" s="1" t="s">
        <v>3</v>
      </c>
      <c r="C1" s="1" t="s">
        <v>122</v>
      </c>
      <c r="D1" s="1" t="s">
        <v>123</v>
      </c>
    </row>
    <row r="2">
      <c r="A2" s="2" t="s">
        <v>7</v>
      </c>
      <c r="B2" s="2" t="s">
        <v>124</v>
      </c>
      <c r="C2" s="5">
        <v>1350000</v>
      </c>
      <c r="D2" s="2" t="s">
        <v>125</v>
      </c>
    </row>
    <row r="3">
      <c r="A3" s="2" t="s">
        <v>11</v>
      </c>
      <c r="B3" s="2" t="s">
        <v>126</v>
      </c>
      <c r="C3" s="5">
        <v>1950000</v>
      </c>
      <c r="D3" s="2" t="s">
        <v>125</v>
      </c>
    </row>
    <row r="4">
      <c r="A4" s="2" t="s">
        <v>23</v>
      </c>
      <c r="B4" s="2" t="s">
        <v>127</v>
      </c>
      <c r="C4" s="5">
        <v>2500000</v>
      </c>
      <c r="D4" s="2" t="s">
        <v>125</v>
      </c>
    </row>
    <row r="5">
      <c r="A5" s="2" t="s">
        <v>9</v>
      </c>
      <c r="B5" s="2" t="s">
        <v>128</v>
      </c>
      <c r="C5" s="5">
        <v>2100000</v>
      </c>
      <c r="D5" s="2" t="s">
        <v>125</v>
      </c>
    </row>
    <row r="6">
      <c r="A6" s="2" t="s">
        <v>38</v>
      </c>
      <c r="B6" s="2" t="s">
        <v>129</v>
      </c>
      <c r="C6" s="5">
        <v>4200000</v>
      </c>
      <c r="D6" s="2" t="s">
        <v>125</v>
      </c>
    </row>
    <row r="7">
      <c r="A7" s="2" t="s">
        <v>47</v>
      </c>
      <c r="B7" s="2" t="s">
        <v>130</v>
      </c>
      <c r="C7" s="5">
        <v>1100000</v>
      </c>
      <c r="D7" s="2" t="s">
        <v>131</v>
      </c>
    </row>
    <row r="8">
      <c r="A8" s="2" t="s">
        <v>13</v>
      </c>
      <c r="B8" s="2" t="s">
        <v>132</v>
      </c>
      <c r="C8" s="5">
        <v>3300000</v>
      </c>
      <c r="D8" s="2" t="s">
        <v>131</v>
      </c>
    </row>
    <row r="9">
      <c r="A9" s="2" t="s">
        <v>36</v>
      </c>
      <c r="B9" s="2" t="s">
        <v>133</v>
      </c>
      <c r="C9" s="5">
        <v>1600000</v>
      </c>
      <c r="D9" s="2" t="s">
        <v>125</v>
      </c>
    </row>
  </sheetData>
  <autoFilter ref="A1:D9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2026-10-30T04:38:51Z</dcterms:created>
  <dcterms:modified xsi:type="dcterms:W3CDTF">2026-10-30T06:07:19Z</dcterms:modified>
</cp:coreProperties>
</file>